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denlimb/CloudStation/Sustainability Science:Consulting/2024-10 RuFaS/SS-RuFaS Github/Transportation/"/>
    </mc:Choice>
  </mc:AlternateContent>
  <xr:revisionPtr revIDLastSave="0" documentId="13_ncr:1_{0A454E97-E4CB-9E45-952B-215A0BB8D843}" xr6:coauthVersionLast="47" xr6:coauthVersionMax="47" xr10:uidLastSave="{00000000-0000-0000-0000-000000000000}"/>
  <bookViews>
    <workbookView xWindow="1740" yWindow="6740" windowWidth="27640" windowHeight="16940" xr2:uid="{6FF86E56-6A1D-FF47-9230-146D4EBEA293}"/>
  </bookViews>
  <sheets>
    <sheet name="Sheet1" sheetId="1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C8" i="1"/>
  <c r="D8" i="1" s="1"/>
  <c r="E8" i="1" s="1"/>
  <c r="F8" i="1" s="1"/>
  <c r="C9" i="1"/>
  <c r="D9" i="1"/>
  <c r="E9" i="1"/>
  <c r="F7" i="1"/>
  <c r="E7" i="1"/>
  <c r="D7" i="1"/>
  <c r="C7" i="1"/>
  <c r="B9" i="1"/>
  <c r="B8" i="1"/>
  <c r="A9" i="1"/>
  <c r="A8" i="1"/>
  <c r="B7" i="1"/>
  <c r="E3" i="1"/>
  <c r="E4" i="1"/>
</calcChain>
</file>

<file path=xl/sharedStrings.xml><?xml version="1.0" encoding="utf-8"?>
<sst xmlns="http://schemas.openxmlformats.org/spreadsheetml/2006/main" count="23" uniqueCount="21">
  <si>
    <t>2024 National Average</t>
  </si>
  <si>
    <t>Transport Distance</t>
  </si>
  <si>
    <t>25 miles</t>
  </si>
  <si>
    <t>100 miles</t>
  </si>
  <si>
    <t>200 miles</t>
  </si>
  <si>
    <t>Average</t>
  </si>
  <si>
    <t>Unit</t>
  </si>
  <si>
    <t>2023 National Average</t>
  </si>
  <si>
    <t>lbs</t>
  </si>
  <si>
    <t>Truckload Gross Weight</t>
  </si>
  <si>
    <t>Assumed Truck/Trailer Weight</t>
  </si>
  <si>
    <t>kg per tonne</t>
  </si>
  <si>
    <t>kg per pound</t>
  </si>
  <si>
    <t>$/mi/truckload</t>
  </si>
  <si>
    <t>Rate $/mi/truck</t>
  </si>
  <si>
    <t>Rate $/mi/lb</t>
  </si>
  <si>
    <t>Rate $/mi/kg</t>
  </si>
  <si>
    <t>Check 2023 - 25 miles</t>
  </si>
  <si>
    <t>Rate $/mi/tonne</t>
  </si>
  <si>
    <t>Rate $/km/tonne</t>
  </si>
  <si>
    <t>km per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</si>
</sst>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6" formatCode="0.0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3"/>
    <xf numFmtId="44" fontId="0" fillId="0" borderId="0" xfId="2" applyFont="1"/>
    <xf numFmtId="165" fontId="0" fillId="0" borderId="0" xfId="1" applyNumberFormat="1" applyFont="1"/>
    <xf numFmtId="44" fontId="0" fillId="0" borderId="0" xfId="0" applyNumberFormat="1"/>
    <xf numFmtId="166" fontId="0" fillId="0" borderId="0" xfId="0" applyNumberFormat="1"/>
    <xf numFmtId="166" fontId="0" fillId="2" borderId="0" xfId="0" applyNumberFormat="1" applyFill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s.usda.gov/sites/default/files/media/GTOR1stQtr2023.pdf" TargetMode="External"/><Relationship Id="rId1" Type="http://schemas.openxmlformats.org/officeDocument/2006/relationships/hyperlink" Target="https://www.ams.usda.gov/sites/default/files/media/GTOR1stQtr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7736-12C5-1748-9BEA-A69BFE6B2AE5}">
  <dimension ref="A2:J9"/>
  <sheetViews>
    <sheetView tabSelected="1" workbookViewId="0">
      <selection activeCell="H15" sqref="H15"/>
    </sheetView>
  </sheetViews>
  <sheetFormatPr baseColWidth="10" defaultRowHeight="16" x14ac:dyDescent="0.2"/>
  <cols>
    <col min="1" max="1" width="19.33203125" bestFit="1" customWidth="1"/>
    <col min="2" max="2" width="13.83203125" bestFit="1" customWidth="1"/>
    <col min="3" max="3" width="11.1640625" bestFit="1" customWidth="1"/>
    <col min="4" max="4" width="11.33203125" bestFit="1" customWidth="1"/>
    <col min="8" max="8" width="25.1640625" bestFit="1" customWidth="1"/>
  </cols>
  <sheetData>
    <row r="2" spans="1:10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10</v>
      </c>
      <c r="I2" s="3">
        <v>35000</v>
      </c>
      <c r="J2" t="s">
        <v>8</v>
      </c>
    </row>
    <row r="3" spans="1:10" x14ac:dyDescent="0.2">
      <c r="A3" s="1" t="s">
        <v>7</v>
      </c>
      <c r="B3" s="2">
        <v>5.53</v>
      </c>
      <c r="C3" s="2">
        <v>4.18</v>
      </c>
      <c r="D3" s="2">
        <v>4.17</v>
      </c>
      <c r="E3" s="2">
        <f>AVERAGE(B3:D3)</f>
        <v>4.6266666666666669</v>
      </c>
      <c r="F3" t="s">
        <v>13</v>
      </c>
      <c r="H3" t="s">
        <v>9</v>
      </c>
      <c r="I3" s="3">
        <v>80000</v>
      </c>
      <c r="J3" t="s">
        <v>8</v>
      </c>
    </row>
    <row r="4" spans="1:10" x14ac:dyDescent="0.2">
      <c r="A4" s="1" t="s">
        <v>0</v>
      </c>
      <c r="B4" s="2">
        <v>6.64</v>
      </c>
      <c r="C4" s="2">
        <v>4.05</v>
      </c>
      <c r="D4" s="2">
        <v>3.68</v>
      </c>
      <c r="E4" s="2">
        <f>AVERAGE(B4:D4)</f>
        <v>4.79</v>
      </c>
      <c r="F4" t="s">
        <v>13</v>
      </c>
    </row>
    <row r="5" spans="1:10" x14ac:dyDescent="0.2">
      <c r="H5" t="s">
        <v>11</v>
      </c>
      <c r="I5">
        <v>1000</v>
      </c>
    </row>
    <row r="6" spans="1:10" x14ac:dyDescent="0.2">
      <c r="B6" t="s">
        <v>14</v>
      </c>
      <c r="C6" t="s">
        <v>15</v>
      </c>
      <c r="D6" t="s">
        <v>16</v>
      </c>
      <c r="E6" t="s">
        <v>18</v>
      </c>
      <c r="F6" t="s">
        <v>19</v>
      </c>
      <c r="H6" t="s">
        <v>12</v>
      </c>
      <c r="I6">
        <v>0.4536</v>
      </c>
    </row>
    <row r="7" spans="1:10" x14ac:dyDescent="0.2">
      <c r="A7" t="s">
        <v>17</v>
      </c>
      <c r="B7" s="4">
        <f>B3</f>
        <v>5.53</v>
      </c>
      <c r="C7" s="5">
        <f>B7/($I$3-$I$2)</f>
        <v>1.2288888888888891E-4</v>
      </c>
      <c r="D7" s="6">
        <f>C7/$I$6</f>
        <v>2.7091906721536354E-4</v>
      </c>
      <c r="E7" s="5">
        <f>D7*$I$5</f>
        <v>0.27091906721536352</v>
      </c>
      <c r="F7" s="5">
        <f>E7/$I$7</f>
        <v>0.16834172220622337</v>
      </c>
      <c r="H7" t="s">
        <v>20</v>
      </c>
      <c r="I7">
        <v>1.60934</v>
      </c>
    </row>
    <row r="8" spans="1:10" x14ac:dyDescent="0.2">
      <c r="A8" t="str">
        <f>A3</f>
        <v>2023 National Average</v>
      </c>
      <c r="B8" s="4">
        <f>E3</f>
        <v>4.6266666666666669</v>
      </c>
      <c r="C8" s="5">
        <f t="shared" ref="C8:C9" si="0">B8/($I$3-$I$2)</f>
        <v>1.0281481481481482E-4</v>
      </c>
      <c r="D8" s="6">
        <f t="shared" ref="D8:D9" si="1">C8/$I$6</f>
        <v>2.2666405382454767E-4</v>
      </c>
      <c r="E8" s="5">
        <f t="shared" ref="E8:E9" si="2">D8*$I$5</f>
        <v>0.22666405382454766</v>
      </c>
      <c r="F8" s="5">
        <f t="shared" ref="F8:F9" si="3">E8/$I$7</f>
        <v>0.14084286342509827</v>
      </c>
    </row>
    <row r="9" spans="1:10" x14ac:dyDescent="0.2">
      <c r="A9" t="str">
        <f>A4</f>
        <v>2024 National Average</v>
      </c>
      <c r="B9" s="4">
        <f>E4</f>
        <v>4.79</v>
      </c>
      <c r="C9" s="5">
        <f t="shared" si="0"/>
        <v>1.0644444444444445E-4</v>
      </c>
      <c r="D9" s="6">
        <f t="shared" si="1"/>
        <v>2.3466588281403097E-4</v>
      </c>
      <c r="E9" s="5">
        <f t="shared" si="2"/>
        <v>0.23466588281403097</v>
      </c>
      <c r="F9" s="5">
        <f>E9/$I$7</f>
        <v>0.14581498180249727</v>
      </c>
    </row>
  </sheetData>
  <hyperlinks>
    <hyperlink ref="A4" r:id="rId1" xr:uid="{1390D4A0-3A15-8345-81CD-280152F1D0CF}"/>
    <hyperlink ref="A3" r:id="rId2" xr:uid="{521FCCF7-CDF5-874B-8F79-72CB6BCFA7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Braden Limb</dc:creator>
  <cp:lastModifiedBy>Braden Limb</cp:lastModifiedBy>
  <dcterms:created xsi:type="dcterms:W3CDTF">2025-07-31T15:17:20Z</dcterms:created>
  <dcterms:modified xsi:type="dcterms:W3CDTF">2025-07-31T16:40:20Z</dcterms:modified>
</cp:coreProperties>
</file>